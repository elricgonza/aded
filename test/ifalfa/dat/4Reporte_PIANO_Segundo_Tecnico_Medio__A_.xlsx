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27.png" ContentType="image/png"/>
  <Override PartName="/xl/media/image28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VERSO" sheetId="1" state="visible" r:id="rId2"/>
    <sheet name="REVERSO" sheetId="2" state="visible" r:id="rId3"/>
    <sheet name="Hoja1" sheetId="3" state="hidden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<sst xmlns="http://schemas.openxmlformats.org/spreadsheetml/2006/main" count="102" uniqueCount="83">
  <si>
    <t xml:space="preserve">Código de Registro: </t>
  </si>
  <si>
    <t xml:space="preserve">CENTRALIZADOR DE  CALIFICACIONES</t>
  </si>
  <si>
    <t xml:space="preserve">LIBRO N° 10</t>
  </si>
  <si>
    <t xml:space="preserve">FOLIO N° 0019</t>
  </si>
  <si>
    <t xml:space="preserve">LA PAZ - BOLIVIA</t>
  </si>
  <si>
    <t xml:space="preserve">TURNO:</t>
  </si>
  <si>
    <t xml:space="preserve">TARDE</t>
  </si>
  <si>
    <t xml:space="preserve">INSTITUCIÓN: </t>
  </si>
  <si>
    <t xml:space="preserve">INSTITUTO DE FORMACIÓN ARTÍSTICA “LUIS FELIPE ARCE"</t>
  </si>
  <si>
    <t xml:space="preserve">R.M. </t>
  </si>
  <si>
    <t xml:space="preserve">034/1993-0685/2016-072/2024-0236/2025</t>
  </si>
  <si>
    <t xml:space="preserve">CARÁCTER:</t>
  </si>
  <si>
    <t xml:space="preserve">FISCAL</t>
  </si>
  <si>
    <t xml:space="preserve">GESTIÓN: </t>
  </si>
  <si>
    <t xml:space="preserve">CÉDULA DE IDENTIDAD </t>
  </si>
  <si>
    <t xml:space="preserve">INE-201</t>
  </si>
  <si>
    <t xml:space="preserve">PRC-202</t>
  </si>
  <si>
    <t xml:space="preserve">MUC-203</t>
  </si>
  <si>
    <t xml:space="preserve">ARM-204</t>
  </si>
  <si>
    <t xml:space="preserve">FAM-205</t>
  </si>
  <si>
    <t xml:space="preserve">HIM-206</t>
  </si>
  <si>
    <t xml:space="preserve">INC-207</t>
  </si>
  <si>
    <t xml:space="preserve">TCO-208</t>
  </si>
  <si>
    <t xml:space="preserve">ESTADO</t>
  </si>
  <si>
    <t xml:space="preserve">OBSERVACIONES </t>
  </si>
  <si>
    <t xml:space="preserve">NIVEL: </t>
  </si>
  <si>
    <t xml:space="preserve">TECNICO MEDIO</t>
  </si>
  <si>
    <t xml:space="preserve">INSTRUMENTO DE ESPECIALIDAD II</t>
  </si>
  <si>
    <t xml:space="preserve">PRÁCTICA DE CONJUNTOS II</t>
  </si>
  <si>
    <t xml:space="preserve">MÚSICA DE CÁMARA I</t>
  </si>
  <si>
    <t xml:space="preserve">ARMONÍA II</t>
  </si>
  <si>
    <t xml:space="preserve">FORMAS Y ANÁLISIS MUSICAL I</t>
  </si>
  <si>
    <t xml:space="preserve">HISTORIA DE LA MÚSICA I</t>
  </si>
  <si>
    <t xml:space="preserve">INSTRUMENTO COMPLEMENTARIO II</t>
  </si>
  <si>
    <t xml:space="preserve">TEORÍA COMPLEMENTARIA</t>
  </si>
  <si>
    <t xml:space="preserve">CARRERA:  </t>
  </si>
  <si>
    <t xml:space="preserve">MÚSICA ACADÉMICA</t>
  </si>
  <si>
    <t xml:space="preserve">INSTRUMENTO DE ESPECIALIDAD: </t>
  </si>
  <si>
    <t xml:space="preserve">PIANO</t>
  </si>
  <si>
    <t xml:space="preserve">RÉGIMEN: </t>
  </si>
  <si>
    <t xml:space="preserve">ANUAL</t>
  </si>
  <si>
    <t xml:space="preserve">CURSO: </t>
  </si>
  <si>
    <t xml:space="preserve">SEGUNDO TECNICO MEDIO "A"</t>
  </si>
  <si>
    <t xml:space="preserve">N°</t>
  </si>
  <si>
    <t xml:space="preserve">NÓMINA ESTUDIANTES</t>
  </si>
  <si>
    <t xml:space="preserve">AGUILAR PANTOJA DENILSON YOSEF</t>
  </si>
  <si>
    <t xml:space="preserve">APROBADO </t>
  </si>
  <si>
    <t xml:space="preserve">APAZA QUISPE CRISTIAN</t>
  </si>
  <si>
    <t xml:space="preserve">REPROBADO</t>
  </si>
  <si>
    <t xml:space="preserve">ARIÑEZ VILLEGAS CARLOS ANDRES</t>
  </si>
  <si>
    <t xml:space="preserve">APROBADO</t>
  </si>
  <si>
    <t xml:space="preserve">CATACORA USNAYO LIZETH SONIA</t>
  </si>
  <si>
    <t xml:space="preserve">COPA CONDORI SIMON</t>
  </si>
  <si>
    <t xml:space="preserve">ESTRADA CLAURE EDDY DANIEL</t>
  </si>
  <si>
    <t xml:space="preserve">I</t>
  </si>
  <si>
    <t xml:space="preserve">RODRIGUEZ MAMANI LAIZ MICAELA</t>
  </si>
  <si>
    <t xml:space="preserve">DEBE INE-201</t>
  </si>
  <si>
    <t xml:space="preserve">VINO MAMANI ERWIN DANIEL</t>
  </si>
  <si>
    <t xml:space="preserve">3 docentes asignados a los 8 alumnos?</t>
  </si>
  <si>
    <t xml:space="preserve">RECTOR (A)</t>
  </si>
  <si>
    <t xml:space="preserve">DIRECTOR(A) ACADÉMICO(A)</t>
  </si>
  <si>
    <t xml:space="preserve">CENTRALIZADOR DE CALIFICACIONES</t>
  </si>
  <si>
    <t xml:space="preserve">BETZABE ELIZABETH SILVA SILLERICO </t>
  </si>
  <si>
    <t xml:space="preserve">SELMA ANGELICA PAULETTI MACIAS</t>
  </si>
  <si>
    <t xml:space="preserve">SACHIKO LETICIA SAKUMA CALATAYUD </t>
  </si>
  <si>
    <t xml:space="preserve">OMAR ELOY GUTIERREZ BLANCO </t>
  </si>
  <si>
    <t xml:space="preserve">GUERY ALEXANDER TICONA ESPINOZA </t>
  </si>
  <si>
    <t xml:space="preserve">FREDDY VINO QUISBERT </t>
  </si>
  <si>
    <t xml:space="preserve">MÚSICA DE CÁMARA </t>
  </si>
  <si>
    <t xml:space="preserve">SACHIKO LETICIA SAKUMA CALATAYUD</t>
  </si>
  <si>
    <t xml:space="preserve">HADIT- SOL BUSTOS ZENTENO </t>
  </si>
  <si>
    <t xml:space="preserve">RUBEN FRANZ TICONA CAREAGA </t>
  </si>
  <si>
    <t xml:space="preserve">HISTORIA DE LA MÚSICA I </t>
  </si>
  <si>
    <t xml:space="preserve">TEORÍA COMPLEMENTARIA </t>
  </si>
  <si>
    <t xml:space="preserve">ESTADÍSTICAS</t>
  </si>
  <si>
    <t xml:space="preserve">DETALLE</t>
  </si>
  <si>
    <t xml:space="preserve">CANTIDAD</t>
  </si>
  <si>
    <t xml:space="preserve">%</t>
  </si>
  <si>
    <t xml:space="preserve">ESTUDIANTES INSCRITOS</t>
  </si>
  <si>
    <t xml:space="preserve">ESTUDIANTES APROBADOS</t>
  </si>
  <si>
    <t xml:space="preserve">ESTUDIANTES REPROBADOS</t>
  </si>
  <si>
    <t xml:space="preserve">ABANDONOS</t>
  </si>
  <si>
    <t xml:space="preserve">NO INCORPORADOS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</si>
</sst>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2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2"/>
      <color rgb="FF111111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6E3BC"/>
        <bgColor rgb="FFD8E4BC"/>
      </patternFill>
    </fill>
    <fill>
      <patternFill patternType="solid">
        <fgColor rgb="FF9BBB59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BF819E"/>
        <bgColor rgb="FF808080"/>
      </patternFill>
    </fill>
    <fill>
      <patternFill patternType="solid">
        <fgColor rgb="FFFFFFFF"/>
        <bgColor rgb="FFFFFFCC"/>
      </patternFill>
    </fill>
    <fill>
      <patternFill patternType="solid">
        <fgColor rgb="FFD8E4BC"/>
        <bgColor rgb="FFD6E3BC"/>
      </patternFill>
    </fill>
    <fill>
      <patternFill patternType="solid">
        <fgColor rgb="FFFF0000"/>
        <bgColor rgb="FF99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E0C2CD"/>
      </left>
      <right style="thin">
        <color rgb="FFE0C2CD"/>
      </right>
      <top style="thin">
        <color rgb="FFE0C2CD"/>
      </top>
      <bottom style="thin">
        <color rgb="FFE0C2CD"/>
      </bottom>
      <diagonal/>
    </border>
    <border diagonalUp="false" diagonalDown="false">
      <left/>
      <right/>
      <top style="dotted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7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7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0" fillId="5" borderId="8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3B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4B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666699"/>
      <rgbColor rgb="FFBF819E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7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1995480</xdr:colOff>
      <xdr:row>5</xdr:row>
      <xdr:rowOff>304560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0" y="0"/>
          <a:ext cx="4638240" cy="13140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687960</xdr:colOff>
      <xdr:row>6</xdr:row>
      <xdr:rowOff>171000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0" y="0"/>
          <a:ext cx="4638240" cy="131400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98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B19" activeCellId="0" sqref="B19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25.43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9" min="5" style="0" width="9.85"/>
    <col collapsed="false" customWidth="true" hidden="false" outlineLevel="0" max="10" min="10" style="0" width="10.86"/>
    <col collapsed="false" customWidth="true" hidden="false" outlineLevel="0" max="11" min="11" style="0" width="12"/>
    <col collapsed="false" customWidth="true" hidden="false" outlineLevel="0" max="12" min="12" style="0" width="11.71"/>
    <col collapsed="false" customWidth="true" hidden="false" outlineLevel="0" max="13" min="13" style="0" width="15.43"/>
    <col collapsed="false" customWidth="true" hidden="false" outlineLevel="0" max="14" min="14" style="0" width="5"/>
    <col collapsed="false" customWidth="true" hidden="false" outlineLevel="0" max="15" min="15" style="0" width="29.57"/>
    <col collapsed="false" customWidth="true" hidden="false" outlineLevel="0" max="19" min="16" style="0" width="11.43"/>
  </cols>
  <sheetData>
    <row r="1" customFormat="false" ht="15.75" hidden="false" customHeight="true" outlineLevel="0" collapsed="false">
      <c r="A1" s="1"/>
      <c r="B1" s="1"/>
      <c r="C1" s="1"/>
      <c r="D1" s="2"/>
      <c r="E1" s="2"/>
      <c r="F1" s="2"/>
      <c r="G1" s="3"/>
      <c r="H1" s="3"/>
      <c r="I1" s="3"/>
      <c r="J1" s="3"/>
      <c r="K1" s="4" t="s">
        <v>0</v>
      </c>
      <c r="L1" s="4"/>
      <c r="M1" s="5" t="n">
        <v>80730917</v>
      </c>
      <c r="N1" s="5"/>
      <c r="O1" s="5"/>
      <c r="P1" s="3"/>
      <c r="Q1" s="3"/>
      <c r="R1" s="3"/>
      <c r="S1" s="3"/>
    </row>
    <row r="2" customFormat="false" ht="15.75" hidden="false" customHeight="true" outlineLevel="0" collapsed="false">
      <c r="A2" s="1"/>
      <c r="B2" s="1"/>
      <c r="C2" s="1"/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" hidden="false" customHeight="true" outlineLevel="0" collapsed="false">
      <c r="A3" s="1"/>
      <c r="B3" s="1"/>
      <c r="C3" s="1"/>
      <c r="D3" s="7"/>
      <c r="E3" s="3"/>
      <c r="F3" s="3"/>
      <c r="G3" s="3"/>
      <c r="H3" s="3"/>
      <c r="I3" s="3"/>
      <c r="J3" s="3"/>
      <c r="K3" s="3"/>
      <c r="L3" s="8"/>
      <c r="M3" s="3"/>
      <c r="N3" s="3"/>
      <c r="O3" s="9"/>
      <c r="P3" s="3"/>
      <c r="Q3" s="3"/>
      <c r="R3" s="3"/>
      <c r="S3" s="3"/>
    </row>
    <row r="4" customFormat="false" ht="16.5" hidden="false" customHeight="true" outlineLevel="0" collapsed="false">
      <c r="A4" s="1"/>
      <c r="B4" s="1"/>
      <c r="C4" s="1"/>
      <c r="D4" s="10" t="s">
        <v>1</v>
      </c>
      <c r="E4" s="10"/>
      <c r="F4" s="10"/>
      <c r="G4" s="10"/>
      <c r="H4" s="10"/>
      <c r="I4" s="10"/>
      <c r="J4" s="10"/>
      <c r="K4" s="10"/>
      <c r="L4" s="10"/>
      <c r="M4" s="3"/>
      <c r="N4" s="3"/>
      <c r="O4" s="11" t="s">
        <v>2</v>
      </c>
      <c r="P4" s="3"/>
      <c r="Q4" s="3"/>
      <c r="R4" s="3"/>
      <c r="S4" s="3"/>
    </row>
    <row r="5" customFormat="false" ht="16.5" hidden="false" customHeight="true" outlineLevel="0" collapsed="false">
      <c r="A5" s="1"/>
      <c r="B5" s="1"/>
      <c r="C5" s="1"/>
      <c r="D5" s="10"/>
      <c r="E5" s="10"/>
      <c r="F5" s="10"/>
      <c r="G5" s="10"/>
      <c r="H5" s="10"/>
      <c r="I5" s="10"/>
      <c r="J5" s="10"/>
      <c r="K5" s="10"/>
      <c r="L5" s="10"/>
      <c r="M5" s="3"/>
      <c r="N5" s="3"/>
      <c r="O5" s="11" t="s">
        <v>3</v>
      </c>
      <c r="P5" s="3"/>
      <c r="Q5" s="3"/>
      <c r="R5" s="3"/>
      <c r="S5" s="3"/>
    </row>
    <row r="6" customFormat="false" ht="24.75" hidden="false" customHeight="true" outlineLevel="0" collapsed="false">
      <c r="A6" s="1"/>
      <c r="B6" s="1"/>
      <c r="C6" s="1"/>
      <c r="D6" s="12"/>
      <c r="E6" s="3"/>
      <c r="F6" s="3"/>
      <c r="G6" s="3"/>
      <c r="H6" s="3"/>
      <c r="I6" s="3"/>
      <c r="J6" s="3"/>
      <c r="K6" s="3"/>
      <c r="L6" s="8"/>
      <c r="M6" s="3"/>
      <c r="N6" s="3"/>
      <c r="O6" s="13"/>
      <c r="P6" s="3"/>
      <c r="Q6" s="3"/>
      <c r="R6" s="3"/>
      <c r="S6" s="3"/>
    </row>
    <row r="7" customFormat="false" ht="26.25" hidden="false" customHeight="true" outlineLevel="0" collapsed="false">
      <c r="A7" s="14" t="s">
        <v>4</v>
      </c>
      <c r="B7" s="14"/>
      <c r="C7" s="14"/>
      <c r="D7" s="15"/>
      <c r="E7" s="3"/>
      <c r="F7" s="3"/>
      <c r="G7" s="3"/>
      <c r="H7" s="3"/>
      <c r="I7" s="3"/>
      <c r="J7" s="16"/>
      <c r="K7" s="16"/>
      <c r="L7" s="17" t="s">
        <v>5</v>
      </c>
      <c r="M7" s="17" t="s">
        <v>6</v>
      </c>
      <c r="N7" s="18"/>
      <c r="O7" s="18"/>
      <c r="P7" s="3"/>
      <c r="Q7" s="3"/>
      <c r="R7" s="3"/>
      <c r="S7" s="3"/>
    </row>
    <row r="8" customFormat="false" ht="28.5" hidden="false" customHeight="true" outlineLevel="0" collapsed="false">
      <c r="A8" s="19" t="s">
        <v>7</v>
      </c>
      <c r="B8" s="19"/>
      <c r="C8" s="20" t="s">
        <v>8</v>
      </c>
      <c r="D8" s="20"/>
      <c r="E8" s="20"/>
      <c r="F8" s="20"/>
      <c r="G8" s="20"/>
      <c r="H8" s="20"/>
      <c r="I8" s="21" t="s">
        <v>9</v>
      </c>
      <c r="J8" s="22" t="s">
        <v>10</v>
      </c>
      <c r="K8" s="22"/>
      <c r="L8" s="23" t="s">
        <v>11</v>
      </c>
      <c r="M8" s="23" t="s">
        <v>12</v>
      </c>
      <c r="N8" s="24"/>
      <c r="O8" s="24"/>
      <c r="P8" s="3"/>
      <c r="Q8" s="3"/>
      <c r="R8" s="3"/>
      <c r="S8" s="3"/>
    </row>
    <row r="9" customFormat="false" ht="15" hidden="false" customHeight="true" outlineLevel="0" collapsed="false">
      <c r="A9" s="25" t="s">
        <v>13</v>
      </c>
      <c r="B9" s="25"/>
      <c r="C9" s="26" t="n">
        <v>2025</v>
      </c>
      <c r="D9" s="27" t="s">
        <v>14</v>
      </c>
      <c r="E9" s="28" t="s">
        <v>15</v>
      </c>
      <c r="F9" s="28" t="s">
        <v>16</v>
      </c>
      <c r="G9" s="28" t="s">
        <v>17</v>
      </c>
      <c r="H9" s="28" t="s">
        <v>18</v>
      </c>
      <c r="I9" s="28" t="s">
        <v>19</v>
      </c>
      <c r="J9" s="28" t="s">
        <v>20</v>
      </c>
      <c r="K9" s="28" t="s">
        <v>21</v>
      </c>
      <c r="L9" s="28" t="s">
        <v>22</v>
      </c>
      <c r="M9" s="29" t="s">
        <v>23</v>
      </c>
      <c r="N9" s="29" t="s">
        <v>24</v>
      </c>
      <c r="O9" s="29"/>
      <c r="P9" s="3"/>
      <c r="Q9" s="30"/>
      <c r="R9" s="30"/>
      <c r="S9" s="30"/>
    </row>
    <row r="10" customFormat="false" ht="21" hidden="false" customHeight="true" outlineLevel="0" collapsed="false">
      <c r="A10" s="31" t="s">
        <v>25</v>
      </c>
      <c r="B10" s="31"/>
      <c r="C10" s="26" t="s">
        <v>26</v>
      </c>
      <c r="D10" s="27"/>
      <c r="E10" s="32" t="s">
        <v>27</v>
      </c>
      <c r="F10" s="33" t="s">
        <v>28</v>
      </c>
      <c r="G10" s="29" t="s">
        <v>29</v>
      </c>
      <c r="H10" s="29" t="s">
        <v>30</v>
      </c>
      <c r="I10" s="29" t="s">
        <v>31</v>
      </c>
      <c r="J10" s="29" t="s">
        <v>32</v>
      </c>
      <c r="K10" s="29" t="s">
        <v>33</v>
      </c>
      <c r="L10" s="29" t="s">
        <v>34</v>
      </c>
      <c r="M10" s="29"/>
      <c r="N10" s="29"/>
      <c r="O10" s="29"/>
      <c r="P10" s="3"/>
      <c r="Q10" s="30"/>
      <c r="R10" s="30"/>
      <c r="S10" s="30"/>
    </row>
    <row r="11" customFormat="false" ht="21" hidden="false" customHeight="true" outlineLevel="0" collapsed="false">
      <c r="A11" s="25" t="s">
        <v>35</v>
      </c>
      <c r="B11" s="25"/>
      <c r="C11" s="34" t="s">
        <v>36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9"/>
      <c r="O11" s="29"/>
      <c r="P11" s="3"/>
      <c r="Q11" s="30"/>
      <c r="R11" s="30"/>
      <c r="S11" s="30"/>
    </row>
    <row r="12" customFormat="false" ht="21" hidden="false" customHeight="true" outlineLevel="0" collapsed="false">
      <c r="A12" s="35" t="s">
        <v>37</v>
      </c>
      <c r="B12" s="35"/>
      <c r="C12" s="36" t="s">
        <v>38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9"/>
      <c r="O12" s="29"/>
      <c r="P12" s="3"/>
      <c r="Q12" s="3"/>
      <c r="R12" s="3"/>
      <c r="S12" s="3"/>
    </row>
    <row r="13" customFormat="false" ht="21" hidden="false" customHeight="true" outlineLevel="0" collapsed="false">
      <c r="A13" s="25" t="s">
        <v>39</v>
      </c>
      <c r="B13" s="25"/>
      <c r="C13" s="36" t="s">
        <v>40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9"/>
      <c r="O13" s="29"/>
      <c r="P13" s="3"/>
      <c r="Q13" s="3" t="n">
        <v>4</v>
      </c>
      <c r="R13" s="3"/>
      <c r="S13" s="3"/>
    </row>
    <row r="14" customFormat="false" ht="20.25" hidden="false" customHeight="true" outlineLevel="0" collapsed="false">
      <c r="A14" s="25" t="s">
        <v>41</v>
      </c>
      <c r="B14" s="25"/>
      <c r="C14" s="36" t="s">
        <v>42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9"/>
      <c r="O14" s="29"/>
      <c r="P14" s="3"/>
      <c r="Q14" s="3" t="n">
        <v>5</v>
      </c>
      <c r="R14" s="3"/>
      <c r="S14" s="3"/>
    </row>
    <row r="15" customFormat="false" ht="19.5" hidden="false" customHeight="true" outlineLevel="0" collapsed="false">
      <c r="A15" s="37" t="s">
        <v>43</v>
      </c>
      <c r="B15" s="37" t="s">
        <v>44</v>
      </c>
      <c r="C15" s="3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9"/>
      <c r="O15" s="29"/>
      <c r="P15" s="3"/>
      <c r="Q15" s="3" t="n">
        <v>5</v>
      </c>
      <c r="R15" s="3"/>
      <c r="S15" s="3"/>
    </row>
    <row r="16" customFormat="false" ht="15" hidden="false" customHeight="true" outlineLevel="0" collapsed="false">
      <c r="A16" s="38" t="n">
        <v>1</v>
      </c>
      <c r="B16" s="39" t="s">
        <v>45</v>
      </c>
      <c r="C16" s="39"/>
      <c r="D16" s="40" t="n">
        <v>9201551</v>
      </c>
      <c r="E16" s="41" t="n">
        <v>91</v>
      </c>
      <c r="F16" s="41" t="n">
        <v>80</v>
      </c>
      <c r="G16" s="41" t="n">
        <v>95</v>
      </c>
      <c r="H16" s="41" t="n">
        <v>89</v>
      </c>
      <c r="I16" s="41" t="n">
        <v>89</v>
      </c>
      <c r="J16" s="41" t="n">
        <v>76</v>
      </c>
      <c r="K16" s="41" t="n">
        <v>70</v>
      </c>
      <c r="L16" s="41" t="n">
        <v>75</v>
      </c>
      <c r="M16" s="42" t="s">
        <v>46</v>
      </c>
      <c r="N16" s="43" t="s">
        <v>22</v>
      </c>
      <c r="O16" s="43"/>
      <c r="P16" s="3" t="n">
        <f aca="false">SUM(E16:L16)/8</f>
        <v>83.125</v>
      </c>
      <c r="Q16" s="3"/>
      <c r="R16" s="3"/>
      <c r="S16" s="3"/>
    </row>
    <row r="17" customFormat="false" ht="15" hidden="false" customHeight="true" outlineLevel="0" collapsed="false">
      <c r="A17" s="38" t="n">
        <v>2</v>
      </c>
      <c r="B17" s="39" t="s">
        <v>47</v>
      </c>
      <c r="C17" s="39"/>
      <c r="D17" s="40" t="n">
        <v>13548947</v>
      </c>
      <c r="E17" s="41" t="n">
        <v>33</v>
      </c>
      <c r="F17" s="41" t="n">
        <v>83</v>
      </c>
      <c r="G17" s="41" t="n">
        <v>51</v>
      </c>
      <c r="H17" s="41" t="n">
        <v>12</v>
      </c>
      <c r="I17" s="41" t="n">
        <v>17</v>
      </c>
      <c r="J17" s="41" t="n">
        <v>63</v>
      </c>
      <c r="K17" s="41" t="n">
        <v>92</v>
      </c>
      <c r="L17" s="41" t="n">
        <v>50</v>
      </c>
      <c r="M17" s="42" t="s">
        <v>48</v>
      </c>
      <c r="N17" s="43"/>
      <c r="O17" s="43"/>
      <c r="P17" s="44" t="n">
        <f aca="false">SUM(E17:L17)/8</f>
        <v>50.125</v>
      </c>
      <c r="Q17" s="3" t="n">
        <f aca="false">SUM(Q13:Q15)</f>
        <v>14</v>
      </c>
      <c r="R17" s="3"/>
      <c r="S17" s="3"/>
    </row>
    <row r="18" customFormat="false" ht="15" hidden="false" customHeight="true" outlineLevel="0" collapsed="false">
      <c r="A18" s="38" t="n">
        <v>3</v>
      </c>
      <c r="B18" s="39" t="s">
        <v>49</v>
      </c>
      <c r="C18" s="39"/>
      <c r="D18" s="40" t="n">
        <v>9866436</v>
      </c>
      <c r="E18" s="41" t="n">
        <v>95</v>
      </c>
      <c r="F18" s="41" t="n">
        <v>76</v>
      </c>
      <c r="G18" s="41" t="n">
        <v>90</v>
      </c>
      <c r="H18" s="41" t="n">
        <v>81</v>
      </c>
      <c r="I18" s="41" t="n">
        <v>81</v>
      </c>
      <c r="J18" s="41" t="n">
        <v>78</v>
      </c>
      <c r="K18" s="41" t="n">
        <v>70</v>
      </c>
      <c r="L18" s="41" t="n">
        <v>90</v>
      </c>
      <c r="M18" s="42" t="s">
        <v>50</v>
      </c>
      <c r="N18" s="43" t="s">
        <v>22</v>
      </c>
      <c r="O18" s="43"/>
      <c r="P18" s="3" t="n">
        <f aca="false">SUM(E18:L18)/8</f>
        <v>82.625</v>
      </c>
      <c r="Q18" s="3"/>
      <c r="R18" s="3"/>
      <c r="S18" s="3"/>
    </row>
    <row r="19" customFormat="false" ht="15" hidden="false" customHeight="true" outlineLevel="0" collapsed="false">
      <c r="A19" s="38" t="n">
        <v>4</v>
      </c>
      <c r="B19" s="39" t="s">
        <v>51</v>
      </c>
      <c r="C19" s="39"/>
      <c r="D19" s="40" t="n">
        <v>4892740</v>
      </c>
      <c r="E19" s="41" t="n">
        <v>71</v>
      </c>
      <c r="F19" s="41" t="n">
        <v>66</v>
      </c>
      <c r="G19" s="41" t="n">
        <v>91</v>
      </c>
      <c r="H19" s="41" t="n">
        <v>73</v>
      </c>
      <c r="I19" s="41" t="n">
        <v>78</v>
      </c>
      <c r="J19" s="41" t="n">
        <v>94</v>
      </c>
      <c r="K19" s="41" t="n">
        <v>76</v>
      </c>
      <c r="L19" s="41" t="n">
        <v>85</v>
      </c>
      <c r="M19" s="42" t="s">
        <v>50</v>
      </c>
      <c r="N19" s="43"/>
      <c r="O19" s="43"/>
      <c r="P19" s="3" t="n">
        <f aca="false">SUM(E19:L19)/8</f>
        <v>79.25</v>
      </c>
      <c r="Q19" s="3"/>
      <c r="R19" s="3"/>
      <c r="S19" s="3"/>
    </row>
    <row r="20" customFormat="false" ht="15" hidden="false" customHeight="true" outlineLevel="0" collapsed="false">
      <c r="A20" s="38" t="n">
        <v>5</v>
      </c>
      <c r="B20" s="39" t="s">
        <v>52</v>
      </c>
      <c r="C20" s="39"/>
      <c r="D20" s="40" t="n">
        <v>13182363</v>
      </c>
      <c r="E20" s="41" t="n">
        <v>76</v>
      </c>
      <c r="F20" s="41" t="n">
        <v>100</v>
      </c>
      <c r="G20" s="41" t="n">
        <v>89</v>
      </c>
      <c r="H20" s="41" t="n">
        <v>86</v>
      </c>
      <c r="I20" s="41" t="n">
        <v>81</v>
      </c>
      <c r="J20" s="41" t="n">
        <v>97</v>
      </c>
      <c r="K20" s="41" t="n">
        <v>79</v>
      </c>
      <c r="L20" s="41" t="n">
        <v>79</v>
      </c>
      <c r="M20" s="42" t="s">
        <v>50</v>
      </c>
      <c r="N20" s="43"/>
      <c r="O20" s="43"/>
      <c r="P20" s="3" t="n">
        <f aca="false">SUM(E20:L20)/8</f>
        <v>85.875</v>
      </c>
      <c r="Q20" s="3"/>
      <c r="R20" s="3"/>
      <c r="S20" s="3"/>
    </row>
    <row r="21" customFormat="false" ht="15" hidden="false" customHeight="true" outlineLevel="0" collapsed="false">
      <c r="A21" s="38" t="n">
        <v>6</v>
      </c>
      <c r="B21" s="39" t="s">
        <v>53</v>
      </c>
      <c r="C21" s="39"/>
      <c r="D21" s="40" t="n">
        <v>6135168</v>
      </c>
      <c r="E21" s="41" t="n">
        <v>66</v>
      </c>
      <c r="F21" s="41" t="n">
        <v>73</v>
      </c>
      <c r="G21" s="41" t="n">
        <v>68</v>
      </c>
      <c r="H21" s="41" t="n">
        <v>81</v>
      </c>
      <c r="I21" s="41" t="s">
        <v>54</v>
      </c>
      <c r="J21" s="41" t="n">
        <v>93</v>
      </c>
      <c r="K21" s="41" t="n">
        <v>67</v>
      </c>
      <c r="L21" s="41" t="n">
        <v>75</v>
      </c>
      <c r="M21" s="42" t="s">
        <v>50</v>
      </c>
      <c r="N21" s="43"/>
      <c r="O21" s="43"/>
      <c r="P21" s="3" t="n">
        <f aca="false">SUM(E21:L21)/8</f>
        <v>65.375</v>
      </c>
      <c r="Q21" s="3"/>
      <c r="R21" s="3"/>
      <c r="S21" s="3"/>
    </row>
    <row r="22" customFormat="false" ht="15" hidden="false" customHeight="true" outlineLevel="0" collapsed="false">
      <c r="A22" s="38" t="n">
        <v>7</v>
      </c>
      <c r="B22" s="39" t="s">
        <v>55</v>
      </c>
      <c r="C22" s="39"/>
      <c r="D22" s="40" t="n">
        <v>10923214</v>
      </c>
      <c r="E22" s="41" t="n">
        <v>56</v>
      </c>
      <c r="F22" s="41" t="n">
        <v>61</v>
      </c>
      <c r="G22" s="41" t="n">
        <v>67</v>
      </c>
      <c r="H22" s="41" t="n">
        <v>66</v>
      </c>
      <c r="I22" s="41" t="n">
        <v>79</v>
      </c>
      <c r="J22" s="41" t="n">
        <v>85</v>
      </c>
      <c r="K22" s="41" t="n">
        <v>61</v>
      </c>
      <c r="L22" s="41" t="n">
        <v>71</v>
      </c>
      <c r="M22" s="42" t="s">
        <v>50</v>
      </c>
      <c r="N22" s="43" t="s">
        <v>56</v>
      </c>
      <c r="O22" s="43"/>
      <c r="P22" s="3" t="n">
        <f aca="false">SUM(E22:L22)/8</f>
        <v>68.25</v>
      </c>
      <c r="Q22" s="3"/>
      <c r="R22" s="3"/>
      <c r="S22" s="3"/>
    </row>
    <row r="23" customFormat="false" ht="15" hidden="false" customHeight="true" outlineLevel="0" collapsed="false">
      <c r="A23" s="38" t="n">
        <v>8</v>
      </c>
      <c r="B23" s="39" t="s">
        <v>57</v>
      </c>
      <c r="C23" s="39"/>
      <c r="D23" s="40" t="n">
        <v>14822750</v>
      </c>
      <c r="E23" s="41" t="n">
        <v>85</v>
      </c>
      <c r="F23" s="41" t="n">
        <v>100</v>
      </c>
      <c r="G23" s="41" t="n">
        <v>68</v>
      </c>
      <c r="H23" s="41" t="n">
        <v>62</v>
      </c>
      <c r="I23" s="41" t="n">
        <v>74</v>
      </c>
      <c r="J23" s="41" t="n">
        <v>83</v>
      </c>
      <c r="K23" s="41" t="n">
        <v>82</v>
      </c>
      <c r="L23" s="41" t="n">
        <v>76</v>
      </c>
      <c r="M23" s="42" t="s">
        <v>50</v>
      </c>
      <c r="N23" s="43"/>
      <c r="O23" s="43"/>
      <c r="P23" s="3" t="n">
        <f aca="false">SUM(E23:L23)/8</f>
        <v>78.75</v>
      </c>
      <c r="Q23" s="3"/>
      <c r="R23" s="3"/>
      <c r="S23" s="3"/>
    </row>
    <row r="24" customFormat="false" ht="15" hidden="false" customHeight="true" outlineLevel="0" collapsed="false">
      <c r="A24" s="38" t="n">
        <v>9</v>
      </c>
      <c r="B24" s="39"/>
      <c r="C24" s="39"/>
      <c r="D24" s="40"/>
      <c r="E24" s="41"/>
      <c r="F24" s="41"/>
      <c r="G24" s="41"/>
      <c r="H24" s="41"/>
      <c r="I24" s="41"/>
      <c r="J24" s="41"/>
      <c r="K24" s="41"/>
      <c r="L24" s="41"/>
      <c r="M24" s="42"/>
      <c r="N24" s="43"/>
      <c r="O24" s="43"/>
      <c r="P24" s="3"/>
      <c r="Q24" s="3"/>
      <c r="R24" s="3"/>
      <c r="S24" s="3"/>
    </row>
    <row r="25" customFormat="false" ht="16.5" hidden="false" customHeight="true" outlineLevel="0" collapsed="false">
      <c r="A25" s="45"/>
      <c r="B25" s="46"/>
      <c r="C25" s="46"/>
      <c r="D25" s="46"/>
      <c r="E25" s="5"/>
      <c r="F25" s="5"/>
      <c r="G25" s="5"/>
      <c r="H25" s="5"/>
      <c r="I25" s="5"/>
      <c r="J25" s="5"/>
      <c r="K25" s="5"/>
      <c r="L25" s="5"/>
      <c r="M25" s="5"/>
      <c r="N25" s="46"/>
      <c r="O25" s="46"/>
      <c r="P25" s="3"/>
      <c r="Q25" s="3"/>
      <c r="R25" s="3"/>
      <c r="S25" s="3"/>
    </row>
    <row r="26" customFormat="false" ht="16.5" hidden="false" customHeight="true" outlineLevel="0" collapsed="false">
      <c r="A26" s="45"/>
      <c r="B26" s="47" t="s">
        <v>58</v>
      </c>
      <c r="C26" s="48"/>
      <c r="D26" s="46"/>
      <c r="E26" s="5"/>
      <c r="F26" s="5"/>
      <c r="G26" s="5"/>
      <c r="H26" s="5"/>
      <c r="I26" s="5"/>
      <c r="J26" s="5"/>
      <c r="K26" s="5"/>
      <c r="L26" s="5"/>
      <c r="M26" s="5"/>
      <c r="N26" s="46"/>
      <c r="O26" s="46"/>
      <c r="P26" s="3"/>
      <c r="Q26" s="3"/>
      <c r="R26" s="3"/>
      <c r="S26" s="3"/>
    </row>
    <row r="27" customFormat="false" ht="16.5" hidden="false" customHeight="true" outlineLevel="0" collapsed="false">
      <c r="A27" s="5"/>
      <c r="B27" s="46"/>
      <c r="C27" s="46"/>
      <c r="D27" s="46"/>
      <c r="E27" s="5"/>
      <c r="F27" s="5"/>
      <c r="G27" s="5"/>
      <c r="H27" s="5"/>
      <c r="I27" s="5"/>
      <c r="J27" s="5"/>
      <c r="K27" s="5"/>
      <c r="L27" s="5"/>
      <c r="M27" s="5"/>
      <c r="N27" s="46"/>
      <c r="O27" s="46"/>
      <c r="P27" s="3"/>
      <c r="Q27" s="3"/>
      <c r="R27" s="3"/>
      <c r="S27" s="3"/>
    </row>
    <row r="28" customFormat="false" ht="16.5" hidden="false" customHeight="true" outlineLevel="0" collapsed="false">
      <c r="A28" s="5"/>
      <c r="B28" s="46"/>
      <c r="C28" s="46"/>
      <c r="D28" s="46"/>
      <c r="E28" s="5"/>
      <c r="F28" s="5"/>
      <c r="G28" s="5"/>
      <c r="H28" s="5"/>
      <c r="I28" s="5"/>
      <c r="J28" s="5"/>
      <c r="K28" s="5"/>
      <c r="L28" s="5"/>
      <c r="M28" s="5"/>
      <c r="N28" s="46"/>
      <c r="O28" s="46"/>
      <c r="P28" s="3"/>
      <c r="Q28" s="3"/>
      <c r="R28" s="3"/>
      <c r="S28" s="3"/>
    </row>
    <row r="29" customFormat="false" ht="16.5" hidden="false" customHeight="true" outlineLevel="0" collapsed="false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46"/>
      <c r="U29" s="46"/>
      <c r="V29" s="46"/>
      <c r="W29" s="46"/>
      <c r="X29" s="46"/>
      <c r="Y29" s="46"/>
    </row>
    <row r="30" customFormat="false" ht="16.5" hidden="false" customHeight="true" outlineLevel="0" collapsed="false">
      <c r="A30" s="5"/>
      <c r="B30" s="46"/>
      <c r="C30" s="46"/>
      <c r="D30" s="46"/>
      <c r="E30" s="5"/>
      <c r="F30" s="5"/>
      <c r="G30" s="5"/>
      <c r="H30" s="5"/>
      <c r="I30" s="5"/>
      <c r="J30" s="5"/>
      <c r="K30" s="5"/>
      <c r="L30" s="5"/>
      <c r="M30" s="5"/>
      <c r="N30" s="46"/>
      <c r="O30" s="46"/>
      <c r="P30" s="3"/>
      <c r="Q30" s="3"/>
      <c r="R30" s="3"/>
      <c r="S30" s="3"/>
    </row>
    <row r="31" customFormat="false" ht="16.5" hidden="false" customHeight="true" outlineLevel="0" collapsed="false">
      <c r="A31" s="5"/>
      <c r="B31" s="46"/>
      <c r="C31" s="46"/>
      <c r="D31" s="46"/>
      <c r="E31" s="49" t="s">
        <v>59</v>
      </c>
      <c r="F31" s="49"/>
      <c r="G31" s="49"/>
      <c r="H31" s="5"/>
      <c r="I31" s="5"/>
      <c r="J31" s="49" t="s">
        <v>60</v>
      </c>
      <c r="K31" s="49"/>
      <c r="L31" s="49"/>
      <c r="M31" s="5"/>
      <c r="N31" s="46"/>
      <c r="O31" s="46"/>
      <c r="P31" s="3"/>
      <c r="Q31" s="3"/>
      <c r="R31" s="3"/>
      <c r="S31" s="3"/>
    </row>
    <row r="32" customFormat="false" ht="21.75" hidden="false" customHeight="true" outlineLevel="0" collapsed="false">
      <c r="A32" s="3"/>
      <c r="B32" s="50"/>
      <c r="C32" s="50"/>
      <c r="D32" s="3"/>
      <c r="E32" s="3"/>
      <c r="F32" s="3"/>
      <c r="G32" s="3"/>
      <c r="H32" s="3"/>
      <c r="I32" s="3"/>
      <c r="J32" s="3"/>
      <c r="K32" s="3"/>
      <c r="L32" s="51" t="n">
        <f aca="false">COUNTIF(N16:O24,"ABANDONO")</f>
        <v>0</v>
      </c>
      <c r="M32" s="3"/>
      <c r="N32" s="3"/>
      <c r="O32" s="3"/>
      <c r="P32" s="3"/>
      <c r="Q32" s="3"/>
      <c r="R32" s="3"/>
      <c r="S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51"/>
      <c r="M33" s="3"/>
      <c r="N33" s="3"/>
      <c r="O33" s="3"/>
      <c r="P33" s="3"/>
      <c r="Q33" s="3"/>
      <c r="R33" s="3"/>
      <c r="S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</sheetData>
  <mergeCells count="48">
    <mergeCell ref="A1:C6"/>
    <mergeCell ref="K1:L1"/>
    <mergeCell ref="D4:L5"/>
    <mergeCell ref="A7:C7"/>
    <mergeCell ref="J7:K7"/>
    <mergeCell ref="A8:B8"/>
    <mergeCell ref="C8:H8"/>
    <mergeCell ref="J8:K8"/>
    <mergeCell ref="A9:B9"/>
    <mergeCell ref="D9:D15"/>
    <mergeCell ref="M9:M15"/>
    <mergeCell ref="N9:O15"/>
    <mergeCell ref="Q9:S11"/>
    <mergeCell ref="A10:B10"/>
    <mergeCell ref="E10:E15"/>
    <mergeCell ref="F10:F15"/>
    <mergeCell ref="G10:G15"/>
    <mergeCell ref="H10:H15"/>
    <mergeCell ref="I10:I15"/>
    <mergeCell ref="J10:J15"/>
    <mergeCell ref="K10:K15"/>
    <mergeCell ref="L10:L15"/>
    <mergeCell ref="A11:B11"/>
    <mergeCell ref="A12:B12"/>
    <mergeCell ref="A13:B13"/>
    <mergeCell ref="A14:B14"/>
    <mergeCell ref="B15:C15"/>
    <mergeCell ref="B16:C16"/>
    <mergeCell ref="N16:O16"/>
    <mergeCell ref="B17:C17"/>
    <mergeCell ref="N17:O17"/>
    <mergeCell ref="B18:C18"/>
    <mergeCell ref="N18:O18"/>
    <mergeCell ref="B19:C19"/>
    <mergeCell ref="N19:O19"/>
    <mergeCell ref="B20:C20"/>
    <mergeCell ref="N20:O20"/>
    <mergeCell ref="B21:C21"/>
    <mergeCell ref="N21:O21"/>
    <mergeCell ref="B22:C22"/>
    <mergeCell ref="N22:O22"/>
    <mergeCell ref="B23:C23"/>
    <mergeCell ref="N23:O23"/>
    <mergeCell ref="B24:C24"/>
    <mergeCell ref="N24:O24"/>
    <mergeCell ref="A29:S29"/>
    <mergeCell ref="E31:G31"/>
    <mergeCell ref="J31:L3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5" scale="7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3" activeCellId="0" sqref="F23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.43"/>
    <col collapsed="false" customWidth="true" hidden="false" outlineLevel="0" max="3" min="3" style="0" width="11.71"/>
    <col collapsed="false" customWidth="true" hidden="false" outlineLevel="0" max="6" min="4" style="0" width="9"/>
    <col collapsed="false" customWidth="true" hidden="false" outlineLevel="0" max="7" min="7" style="0" width="10.43"/>
    <col collapsed="false" customWidth="true" hidden="false" outlineLevel="0" max="8" min="8" style="0" width="9"/>
    <col collapsed="false" customWidth="true" hidden="false" outlineLevel="0" max="9" min="9" style="0" width="8.14"/>
    <col collapsed="false" customWidth="true" hidden="false" outlineLevel="0" max="10" min="10" style="0" width="12"/>
    <col collapsed="false" customWidth="true" hidden="false" outlineLevel="0" max="13" min="11" style="0" width="9"/>
    <col collapsed="false" customWidth="true" hidden="false" outlineLevel="0" max="14" min="14" style="0" width="13"/>
    <col collapsed="false" customWidth="true" hidden="false" outlineLevel="0" max="26" min="15" style="0" width="9.14"/>
  </cols>
  <sheetData>
    <row r="1" customFormat="false" ht="15" hidden="false" customHeight="false" outlineLevel="0" collapsed="false">
      <c r="A1" s="15"/>
      <c r="B1" s="15"/>
      <c r="C1" s="15"/>
      <c r="D1" s="15"/>
      <c r="E1" s="15"/>
      <c r="F1" s="15"/>
      <c r="G1" s="15"/>
      <c r="H1" s="15"/>
      <c r="I1" s="15"/>
      <c r="J1" s="15"/>
      <c r="K1" s="52"/>
      <c r="L1" s="52"/>
      <c r="M1" s="52"/>
      <c r="N1" s="15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true" outlineLevel="0" collapsed="false">
      <c r="A4" s="15"/>
      <c r="B4" s="15"/>
      <c r="C4" s="53" t="s">
        <v>61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15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15"/>
      <c r="B5" s="15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1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customFormat="false" ht="15" hidden="false" customHeight="false" outlineLevel="0" collapsed="false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customFormat="false" ht="15" hidden="false" customHeight="true" outlineLevel="0" collapsed="false">
      <c r="A12" s="55"/>
      <c r="B12" s="57" t="s">
        <v>62</v>
      </c>
      <c r="C12" s="55"/>
      <c r="D12" s="57" t="s">
        <v>63</v>
      </c>
      <c r="E12" s="57"/>
      <c r="F12" s="57"/>
      <c r="G12" s="57"/>
      <c r="H12" s="55"/>
      <c r="I12" s="57" t="s">
        <v>64</v>
      </c>
      <c r="J12" s="57"/>
      <c r="K12" s="57"/>
      <c r="L12" s="57"/>
      <c r="M12" s="55"/>
      <c r="N12" s="57" t="s">
        <v>65</v>
      </c>
      <c r="O12" s="57"/>
      <c r="P12" s="57"/>
      <c r="Q12" s="57"/>
      <c r="R12" s="56"/>
      <c r="S12" s="56"/>
      <c r="T12" s="56"/>
      <c r="U12" s="56"/>
      <c r="V12" s="56"/>
      <c r="W12" s="56"/>
      <c r="X12" s="56"/>
      <c r="Y12" s="56"/>
      <c r="Z12" s="56"/>
    </row>
    <row r="13" customFormat="false" ht="23.25" hidden="false" customHeight="true" outlineLevel="0" collapsed="false">
      <c r="A13" s="55"/>
      <c r="B13" s="58" t="s">
        <v>27</v>
      </c>
      <c r="C13" s="55"/>
      <c r="D13" s="59" t="s">
        <v>27</v>
      </c>
      <c r="E13" s="59"/>
      <c r="F13" s="59"/>
      <c r="G13" s="59"/>
      <c r="H13" s="55"/>
      <c r="I13" s="59" t="s">
        <v>27</v>
      </c>
      <c r="J13" s="59"/>
      <c r="K13" s="59"/>
      <c r="L13" s="59"/>
      <c r="M13" s="55"/>
      <c r="N13" s="60" t="s">
        <v>28</v>
      </c>
      <c r="O13" s="60"/>
      <c r="P13" s="60"/>
      <c r="Q13" s="60"/>
      <c r="R13" s="56"/>
      <c r="S13" s="56"/>
      <c r="T13" s="56"/>
      <c r="U13" s="56"/>
      <c r="V13" s="56"/>
      <c r="W13" s="56"/>
      <c r="X13" s="56"/>
      <c r="Y13" s="56"/>
      <c r="Z13" s="56"/>
    </row>
    <row r="14" customFormat="false" ht="15" hidden="false" customHeight="false" outlineLevel="0" collapsed="false">
      <c r="A14" s="55"/>
      <c r="B14" s="61"/>
      <c r="C14" s="55"/>
      <c r="D14" s="61"/>
      <c r="E14" s="56"/>
      <c r="F14" s="56"/>
      <c r="G14" s="56"/>
      <c r="H14" s="55"/>
      <c r="I14" s="61"/>
      <c r="J14" s="56"/>
      <c r="K14" s="56"/>
      <c r="L14" s="56"/>
      <c r="M14" s="55"/>
      <c r="N14" s="61"/>
      <c r="O14" s="61"/>
      <c r="P14" s="61"/>
      <c r="Q14" s="61"/>
      <c r="R14" s="56"/>
      <c r="S14" s="56"/>
      <c r="T14" s="56"/>
      <c r="U14" s="56"/>
      <c r="V14" s="56"/>
      <c r="W14" s="56"/>
      <c r="X14" s="56"/>
      <c r="Y14" s="56"/>
      <c r="Z14" s="56"/>
    </row>
    <row r="15" customFormat="false" ht="15" hidden="false" customHeight="false" outlineLevel="0" collapsed="false">
      <c r="A15" s="55"/>
      <c r="B15" s="61"/>
      <c r="C15" s="55"/>
      <c r="D15" s="61"/>
      <c r="E15" s="56"/>
      <c r="F15" s="56"/>
      <c r="G15" s="56"/>
      <c r="H15" s="55"/>
      <c r="I15" s="61"/>
      <c r="J15" s="56"/>
      <c r="K15" s="56"/>
      <c r="L15" s="56"/>
      <c r="M15" s="55"/>
      <c r="N15" s="61"/>
      <c r="O15" s="61"/>
      <c r="P15" s="61"/>
      <c r="Q15" s="61"/>
      <c r="R15" s="56"/>
      <c r="S15" s="56"/>
      <c r="T15" s="56"/>
      <c r="U15" s="56"/>
      <c r="V15" s="56"/>
      <c r="W15" s="56"/>
      <c r="X15" s="56"/>
      <c r="Y15" s="56"/>
      <c r="Z15" s="56"/>
    </row>
    <row r="16" customFormat="false" ht="15" hidden="false" customHeight="false" outlineLevel="0" collapsed="false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customFormat="false" ht="15" hidden="false" customHeight="false" outlineLevel="0" collapsed="false">
      <c r="A17" s="61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customFormat="false" ht="16.5" hidden="false" customHeight="true" outlineLevel="0" collapsed="false">
      <c r="A18" s="61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customFormat="false" ht="16.5" hidden="false" customHeight="true" outlineLevel="0" collapsed="false">
      <c r="A19" s="61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6"/>
      <c r="S19" s="56"/>
      <c r="T19" s="56"/>
      <c r="U19" s="56"/>
      <c r="V19" s="56"/>
      <c r="W19" s="56"/>
      <c r="X19" s="56"/>
      <c r="Y19" s="56"/>
      <c r="Z19" s="56"/>
    </row>
    <row r="20" customFormat="false" ht="15" hidden="false" customHeight="true" outlineLevel="0" collapsed="false">
      <c r="A20" s="61"/>
      <c r="B20" s="57" t="s">
        <v>66</v>
      </c>
      <c r="C20" s="55"/>
      <c r="D20" s="57" t="s">
        <v>67</v>
      </c>
      <c r="E20" s="57"/>
      <c r="F20" s="57"/>
      <c r="G20" s="57"/>
      <c r="H20" s="55"/>
      <c r="I20" s="57" t="s">
        <v>64</v>
      </c>
      <c r="J20" s="57"/>
      <c r="K20" s="57"/>
      <c r="L20" s="57"/>
      <c r="M20" s="55"/>
      <c r="N20" s="62" t="s">
        <v>64</v>
      </c>
      <c r="O20" s="62"/>
      <c r="P20" s="62"/>
      <c r="Q20" s="62"/>
      <c r="R20" s="56"/>
      <c r="S20" s="56"/>
      <c r="T20" s="56"/>
      <c r="U20" s="56"/>
      <c r="V20" s="56"/>
      <c r="W20" s="56"/>
      <c r="X20" s="56"/>
      <c r="Y20" s="56"/>
      <c r="Z20" s="56"/>
    </row>
    <row r="21" customFormat="false" ht="28.5" hidden="false" customHeight="true" outlineLevel="0" collapsed="false">
      <c r="A21" s="61"/>
      <c r="B21" s="61" t="s">
        <v>29</v>
      </c>
      <c r="C21" s="55"/>
      <c r="D21" s="63" t="s">
        <v>68</v>
      </c>
      <c r="E21" s="63"/>
      <c r="F21" s="63"/>
      <c r="G21" s="63"/>
      <c r="H21" s="55"/>
      <c r="I21" s="63" t="s">
        <v>30</v>
      </c>
      <c r="J21" s="63"/>
      <c r="K21" s="63"/>
      <c r="L21" s="63"/>
      <c r="M21" s="55"/>
      <c r="N21" s="63" t="s">
        <v>31</v>
      </c>
      <c r="O21" s="63"/>
      <c r="P21" s="63"/>
      <c r="Q21" s="63"/>
      <c r="R21" s="56"/>
      <c r="S21" s="56"/>
      <c r="T21" s="56"/>
      <c r="U21" s="56"/>
      <c r="V21" s="56"/>
      <c r="W21" s="56"/>
      <c r="X21" s="56"/>
      <c r="Y21" s="56"/>
      <c r="Z21" s="56"/>
    </row>
    <row r="22" customFormat="false" ht="15.75" hidden="false" customHeight="true" outlineLevel="0" collapsed="false">
      <c r="A22" s="61"/>
      <c r="B22" s="61"/>
      <c r="C22" s="55"/>
      <c r="D22" s="61"/>
      <c r="E22" s="56"/>
      <c r="F22" s="56"/>
      <c r="G22" s="56"/>
      <c r="H22" s="55"/>
      <c r="I22" s="61"/>
      <c r="J22" s="56"/>
      <c r="K22" s="56"/>
      <c r="L22" s="56"/>
      <c r="M22" s="55"/>
      <c r="N22" s="61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customFormat="false" ht="15.75" hidden="false" customHeight="true" outlineLevel="0" collapsed="false">
      <c r="A23" s="61"/>
      <c r="B23" s="61"/>
      <c r="C23" s="55"/>
      <c r="D23" s="61"/>
      <c r="E23" s="56"/>
      <c r="F23" s="56"/>
      <c r="G23" s="56"/>
      <c r="H23" s="55"/>
      <c r="I23" s="61"/>
      <c r="J23" s="56"/>
      <c r="K23" s="56"/>
      <c r="L23" s="56"/>
      <c r="M23" s="55"/>
      <c r="N23" s="61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customFormat="false" ht="16.5" hidden="false" customHeight="true" outlineLevel="0" collapsed="false">
      <c r="A24" s="61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customFormat="false" ht="16.5" hidden="false" customHeight="true" outlineLevel="0" collapsed="false">
      <c r="A25" s="61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customFormat="false" ht="16.5" hidden="false" customHeight="true" outlineLevel="0" collapsed="false">
      <c r="A26" s="61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customFormat="false" ht="16.5" hidden="false" customHeight="true" outlineLevel="0" collapsed="false">
      <c r="A27" s="61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customFormat="false" ht="16.5" hidden="false" customHeight="true" outlineLevel="0" collapsed="false">
      <c r="A28" s="61"/>
      <c r="B28" s="57" t="s">
        <v>69</v>
      </c>
      <c r="C28" s="64"/>
      <c r="D28" s="57" t="s">
        <v>70</v>
      </c>
      <c r="E28" s="57"/>
      <c r="F28" s="57"/>
      <c r="G28" s="57"/>
      <c r="H28" s="55"/>
      <c r="I28" s="57" t="s">
        <v>65</v>
      </c>
      <c r="J28" s="57"/>
      <c r="K28" s="57"/>
      <c r="L28" s="57"/>
      <c r="M28" s="55"/>
      <c r="N28" s="57" t="s">
        <v>71</v>
      </c>
      <c r="O28" s="57"/>
      <c r="P28" s="57"/>
      <c r="Q28" s="57"/>
      <c r="R28" s="56"/>
      <c r="S28" s="56"/>
      <c r="T28" s="56"/>
      <c r="U28" s="56"/>
      <c r="V28" s="56"/>
      <c r="W28" s="56"/>
      <c r="X28" s="56"/>
      <c r="Y28" s="56"/>
      <c r="Z28" s="56"/>
    </row>
    <row r="29" customFormat="false" ht="16.5" hidden="false" customHeight="true" outlineLevel="0" collapsed="false">
      <c r="A29" s="61"/>
      <c r="B29" s="61" t="s">
        <v>72</v>
      </c>
      <c r="C29" s="64"/>
      <c r="D29" s="63" t="s">
        <v>33</v>
      </c>
      <c r="E29" s="63"/>
      <c r="F29" s="63"/>
      <c r="G29" s="63"/>
      <c r="H29" s="55"/>
      <c r="I29" s="63" t="s">
        <v>33</v>
      </c>
      <c r="J29" s="63"/>
      <c r="K29" s="63"/>
      <c r="L29" s="63"/>
      <c r="M29" s="55"/>
      <c r="N29" s="63" t="s">
        <v>73</v>
      </c>
      <c r="O29" s="63"/>
      <c r="P29" s="63"/>
      <c r="Q29" s="63"/>
      <c r="R29" s="56"/>
      <c r="S29" s="56"/>
      <c r="T29" s="56"/>
      <c r="U29" s="56"/>
      <c r="V29" s="56"/>
      <c r="W29" s="56"/>
      <c r="X29" s="56"/>
      <c r="Y29" s="56"/>
      <c r="Z29" s="56"/>
    </row>
    <row r="30" customFormat="false" ht="16.5" hidden="false" customHeight="true" outlineLevel="0" collapsed="false">
      <c r="A30" s="61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customFormat="false" ht="16.5" hidden="false" customHeight="true" outlineLevel="0" collapsed="false">
      <c r="A31" s="61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customFormat="false" ht="15.75" hidden="false" customHeight="true" outlineLevel="0" collapsed="false">
      <c r="A32" s="65"/>
      <c r="B32" s="65"/>
      <c r="C32" s="65"/>
      <c r="D32" s="65"/>
      <c r="E32" s="65"/>
      <c r="F32" s="65"/>
      <c r="G32" s="63" t="s">
        <v>74</v>
      </c>
      <c r="H32" s="63"/>
      <c r="I32" s="65"/>
      <c r="J32" s="65"/>
      <c r="K32" s="65"/>
      <c r="L32" s="65"/>
      <c r="M32" s="65"/>
      <c r="N32" s="65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customFormat="false" ht="16.5" hidden="false" customHeight="true" outlineLevel="0" collapsed="false">
      <c r="A33" s="61"/>
      <c r="B33" s="66"/>
      <c r="C33" s="66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customFormat="false" ht="16.5" hidden="false" customHeight="true" outlineLevel="0" collapsed="false">
      <c r="A34" s="61"/>
      <c r="B34" s="66"/>
      <c r="C34" s="66"/>
      <c r="D34" s="67" t="s">
        <v>75</v>
      </c>
      <c r="E34" s="67"/>
      <c r="F34" s="67"/>
      <c r="G34" s="67"/>
      <c r="H34" s="67"/>
      <c r="I34" s="67"/>
      <c r="J34" s="67" t="s">
        <v>76</v>
      </c>
      <c r="K34" s="67" t="s">
        <v>77</v>
      </c>
      <c r="L34" s="55"/>
      <c r="M34" s="55"/>
      <c r="N34" s="55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customFormat="false" ht="16.5" hidden="false" customHeight="true" outlineLevel="0" collapsed="false">
      <c r="A35" s="61"/>
      <c r="B35" s="66"/>
      <c r="C35" s="66"/>
      <c r="D35" s="68" t="s">
        <v>78</v>
      </c>
      <c r="E35" s="68"/>
      <c r="F35" s="68"/>
      <c r="G35" s="68"/>
      <c r="H35" s="68"/>
      <c r="I35" s="68"/>
      <c r="J35" s="69" t="n">
        <v>8</v>
      </c>
      <c r="K35" s="70" t="n">
        <f aca="false">J35/$J$35</f>
        <v>1</v>
      </c>
      <c r="L35" s="55"/>
      <c r="M35" s="55"/>
      <c r="N35" s="55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customFormat="false" ht="16.5" hidden="false" customHeight="true" outlineLevel="0" collapsed="false">
      <c r="A36" s="61"/>
      <c r="B36" s="66"/>
      <c r="C36" s="66"/>
      <c r="D36" s="68" t="s">
        <v>79</v>
      </c>
      <c r="E36" s="68"/>
      <c r="F36" s="68"/>
      <c r="G36" s="68"/>
      <c r="H36" s="68"/>
      <c r="I36" s="68"/>
      <c r="J36" s="69" t="n">
        <v>7</v>
      </c>
      <c r="K36" s="70" t="n">
        <f aca="false">J36/$J$35</f>
        <v>0.875</v>
      </c>
      <c r="L36" s="55"/>
      <c r="M36" s="55"/>
      <c r="N36" s="55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customFormat="false" ht="16.5" hidden="false" customHeight="true" outlineLevel="0" collapsed="false">
      <c r="A37" s="61"/>
      <c r="B37" s="66"/>
      <c r="C37" s="66"/>
      <c r="D37" s="68" t="s">
        <v>80</v>
      </c>
      <c r="E37" s="68"/>
      <c r="F37" s="68"/>
      <c r="G37" s="68"/>
      <c r="H37" s="68"/>
      <c r="I37" s="68"/>
      <c r="J37" s="71" t="n">
        <v>1</v>
      </c>
      <c r="K37" s="70" t="n">
        <f aca="false">J37/$J$35</f>
        <v>0.125</v>
      </c>
      <c r="L37" s="55"/>
      <c r="M37" s="55"/>
      <c r="N37" s="55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customFormat="false" ht="16.5" hidden="false" customHeight="true" outlineLevel="0" collapsed="false">
      <c r="A38" s="61"/>
      <c r="B38" s="66"/>
      <c r="C38" s="66"/>
      <c r="D38" s="68" t="s">
        <v>81</v>
      </c>
      <c r="E38" s="68"/>
      <c r="F38" s="68"/>
      <c r="G38" s="68"/>
      <c r="H38" s="68"/>
      <c r="I38" s="68"/>
      <c r="J38" s="69" t="n">
        <v>0</v>
      </c>
      <c r="K38" s="70" t="n">
        <f aca="false">J38/$J$35</f>
        <v>0</v>
      </c>
      <c r="L38" s="55"/>
      <c r="M38" s="55"/>
      <c r="N38" s="55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customFormat="false" ht="16.5" hidden="false" customHeight="true" outlineLevel="0" collapsed="false">
      <c r="A39" s="66"/>
      <c r="B39" s="56"/>
      <c r="C39" s="66"/>
      <c r="D39" s="72" t="s">
        <v>82</v>
      </c>
      <c r="E39" s="72"/>
      <c r="F39" s="72"/>
      <c r="G39" s="72"/>
      <c r="H39" s="72"/>
      <c r="I39" s="72"/>
      <c r="J39" s="69" t="n">
        <v>0</v>
      </c>
      <c r="K39" s="70" t="n">
        <f aca="false">J39/$J$35</f>
        <v>0</v>
      </c>
      <c r="L39" s="66"/>
      <c r="M39" s="66"/>
      <c r="N39" s="6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customFormat="false" ht="12" hidden="false" customHeight="true" outlineLevel="0" collapsed="false">
      <c r="A40" s="15"/>
      <c r="B40" s="73"/>
      <c r="C40" s="73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30" hidden="false" customHeight="tru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8">
    <mergeCell ref="K1:M1"/>
    <mergeCell ref="C4:M5"/>
    <mergeCell ref="D12:G12"/>
    <mergeCell ref="I12:L12"/>
    <mergeCell ref="N12:Q12"/>
    <mergeCell ref="D13:G13"/>
    <mergeCell ref="I13:L13"/>
    <mergeCell ref="N13:Q13"/>
    <mergeCell ref="D20:G20"/>
    <mergeCell ref="I20:L20"/>
    <mergeCell ref="N20:Q20"/>
    <mergeCell ref="D21:G21"/>
    <mergeCell ref="I21:L21"/>
    <mergeCell ref="N21:Q21"/>
    <mergeCell ref="D28:G28"/>
    <mergeCell ref="I28:L28"/>
    <mergeCell ref="N28:Q28"/>
    <mergeCell ref="D29:G29"/>
    <mergeCell ref="I29:L29"/>
    <mergeCell ref="N29:Q29"/>
    <mergeCell ref="G32:H32"/>
    <mergeCell ref="D34:I34"/>
    <mergeCell ref="D35:I35"/>
    <mergeCell ref="D36:I36"/>
    <mergeCell ref="D37:I37"/>
    <mergeCell ref="D38:I38"/>
    <mergeCell ref="D39:I39"/>
    <mergeCell ref="B40:C4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5" scale="8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6" min="1" style="0" width="10.71"/>
  </cols>
  <sheetData>
    <row r="1" customFormat="false" ht="15" hidden="false" customHeight="false" outlineLevel="0" collapsed="false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2017-06-06T12:51:55Z</dcterms:created>
  <dc:creator>vhfloresmedrano@gmail.com</dc:creator>
  <dc:description/>
  <dc:language>en-US</dc:language>
  <cp:lastModifiedBy/>
  <dcterms:modified xsi:type="dcterms:W3CDTF">2026-09-10T10:36:31Z</dcterms:modified>
  <cp:revision>8</cp:revision>
  <dc:subject/>
  <dc:title/>
</cp:coreProperties>
</file>